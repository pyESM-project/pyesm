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Git\cvxlab\docs\source\tutorials\production_planning\materials\"/>
    </mc:Choice>
  </mc:AlternateContent>
  <xr:revisionPtr revIDLastSave="0" documentId="13_ncr:1_{7EB207DA-8A68-435E-94DD-76DF1EEBD4B2}" xr6:coauthVersionLast="47" xr6:coauthVersionMax="47" xr10:uidLastSave="{00000000-0000-0000-0000-000000000000}"/>
  <bookViews>
    <workbookView xWindow="-27130" yWindow="2560" windowWidth="24810" windowHeight="17130" activeTab="1" xr2:uid="{00000000-000D-0000-FFFF-FFFF00000000}"/>
  </bookViews>
  <sheets>
    <sheet name="1" sheetId="1" r:id="rId1"/>
    <sheet name="Sheet1" sheetId="4" r:id="rId2"/>
  </sheets>
  <definedNames>
    <definedName name="OpenSolver_ChosenSolver" localSheetId="0" hidden="1">CBC</definedName>
    <definedName name="OpenSolver_DualsNewSheet" localSheetId="0" hidden="1">0</definedName>
    <definedName name="OpenSolver_LinearityCheck" localSheetId="0" hidden="1">1</definedName>
    <definedName name="OpenSolver_UpdateSensitivity" localSheetId="0" hidden="1">1</definedName>
    <definedName name="solver_adj" localSheetId="0" hidden="1">'1'!$E$4:$F$6</definedName>
    <definedName name="solver_cvg" localSheetId="0" hidden="1">0.0001</definedName>
    <definedName name="solver_drv" localSheetId="0" hidden="1">1</definedName>
    <definedName name="solver_est" localSheetId="0" hidden="1">1</definedName>
    <definedName name="solver_itr" localSheetId="0" hidden="1">2147483647</definedName>
    <definedName name="solver_lhs1" localSheetId="0" hidden="1">'1'!$E$20:$G$20</definedName>
    <definedName name="solver_lhs2" localSheetId="0" hidden="1">'1'!$E$21:$G$21</definedName>
    <definedName name="solver_lhs3" localSheetId="0" hidden="1">'1'!$E$22:$G$22</definedName>
    <definedName name="solver_lhs4" localSheetId="0" hidden="1">'1'!$E$4:$F$6</definedName>
    <definedName name="solver_neg" localSheetId="0" hidden="1">0</definedName>
    <definedName name="solver_num" localSheetId="0" hidden="1">4</definedName>
    <definedName name="solver_nwt" localSheetId="0" hidden="1">1</definedName>
    <definedName name="solver_opt" localSheetId="0" hidden="1">'1'!$D$19</definedName>
    <definedName name="solver_rel1" localSheetId="0" hidden="1">1</definedName>
    <definedName name="solver_rel2" localSheetId="0" hidden="1">1</definedName>
    <definedName name="solver_rel3" localSheetId="0" hidden="1">1</definedName>
    <definedName name="solver_rel4" localSheetId="0" hidden="1">3</definedName>
    <definedName name="solver_rhs1" localSheetId="0" hidden="1">0</definedName>
    <definedName name="solver_rhs2" localSheetId="0" hidden="1">0</definedName>
    <definedName name="solver_rhs3" localSheetId="0" hidden="1">0</definedName>
    <definedName name="solver_rhs4" localSheetId="0" hidden="1">0</definedName>
    <definedName name="solver_rlx" localSheetId="0" hidden="1">2</definedName>
    <definedName name="solver_scl" localSheetId="0" hidden="1">2</definedName>
    <definedName name="solver_sho" localSheetId="0" hidden="1">0</definedName>
    <definedName name="solver_tim" localSheetId="0" hidden="1">2147483647</definedName>
    <definedName name="solver_tol" localSheetId="0" hidden="1">0.05</definedName>
    <definedName name="solver_typ" localSheetId="0" hidden="1">1</definedName>
    <definedName name="solver_val" localSheetId="0" hidden="1">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 a="1"/>
  <c r="E22" i="1" s="1"/>
  <c r="E21" i="1" a="1"/>
  <c r="E21" i="1" s="1"/>
  <c r="E20" i="1" a="1"/>
  <c r="E20" i="1" s="1"/>
  <c r="D19" i="1" a="1"/>
  <c r="D1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<sst xmlns="http://schemas.openxmlformats.org/spreadsheetml/2006/main" count="112" uniqueCount="75">
  <si>
    <t>u</t>
  </si>
  <si>
    <t>prod 1</t>
  </si>
  <si>
    <t>prod 2</t>
  </si>
  <si>
    <t>x</t>
  </si>
  <si>
    <t>var</t>
  </si>
  <si>
    <t>unit</t>
  </si>
  <si>
    <t>name</t>
  </si>
  <si>
    <t>type</t>
  </si>
  <si>
    <t>endogenous</t>
  </si>
  <si>
    <t>unit profit</t>
  </si>
  <si>
    <t>c</t>
  </si>
  <si>
    <t>exogenous</t>
  </si>
  <si>
    <t>€</t>
  </si>
  <si>
    <t>objective</t>
  </si>
  <si>
    <t>positive production</t>
  </si>
  <si>
    <t xml:space="preserve">exogenous </t>
  </si>
  <si>
    <t>energy availability</t>
  </si>
  <si>
    <t>kWh</t>
  </si>
  <si>
    <t>e</t>
  </si>
  <si>
    <t>Production planning model</t>
  </si>
  <si>
    <t>Z == x c'</t>
  </si>
  <si>
    <t>x &gt;= 0</t>
  </si>
  <si>
    <t>l</t>
  </si>
  <si>
    <t>labor availability</t>
  </si>
  <si>
    <t>E</t>
  </si>
  <si>
    <t>L</t>
  </si>
  <si>
    <t>h</t>
  </si>
  <si>
    <t>value</t>
  </si>
  <si>
    <t>expression</t>
  </si>
  <si>
    <t>expression description</t>
  </si>
  <si>
    <t>e x' - E &lt;= 0</t>
  </si>
  <si>
    <t>energy constraint</t>
  </si>
  <si>
    <t>labor constraint</t>
  </si>
  <si>
    <t>l x' - L &lt;= 0</t>
  </si>
  <si>
    <t>kg</t>
  </si>
  <si>
    <t>€/kg</t>
  </si>
  <si>
    <t>kWh/kg</t>
  </si>
  <si>
    <t>h/kg</t>
  </si>
  <si>
    <t>production capacity 1</t>
  </si>
  <si>
    <t>capacity constraint</t>
  </si>
  <si>
    <t>x_1 - X_1_cap &lt;= 0</t>
  </si>
  <si>
    <t>unit energy use</t>
  </si>
  <si>
    <t>unit labor use</t>
  </si>
  <si>
    <t>year 1</t>
  </si>
  <si>
    <t>year 2</t>
  </si>
  <si>
    <t>year 3</t>
  </si>
  <si>
    <t>production (year 1)</t>
  </si>
  <si>
    <t>production (year 2)</t>
  </si>
  <si>
    <t>production (year 3)</t>
  </si>
  <si>
    <t>x_1</t>
  </si>
  <si>
    <t>p1</t>
  </si>
  <si>
    <t>t1</t>
  </si>
  <si>
    <t>t2</t>
  </si>
  <si>
    <t>prods</t>
  </si>
  <si>
    <t>techs</t>
  </si>
  <si>
    <t>p2</t>
  </si>
  <si>
    <t>good1</t>
  </si>
  <si>
    <t>good2</t>
  </si>
  <si>
    <t>energy</t>
  </si>
  <si>
    <t>labor</t>
  </si>
  <si>
    <t>tech1</t>
  </si>
  <si>
    <t>tech2</t>
  </si>
  <si>
    <t>a</t>
  </si>
  <si>
    <t>profit</t>
  </si>
  <si>
    <t>p</t>
  </si>
  <si>
    <t>capacity</t>
  </si>
  <si>
    <t>lab. av</t>
  </si>
  <si>
    <t>en. av</t>
  </si>
  <si>
    <t>min</t>
  </si>
  <si>
    <t>max</t>
  </si>
  <si>
    <t>attr</t>
  </si>
  <si>
    <t>a1</t>
  </si>
  <si>
    <t>a2</t>
  </si>
  <si>
    <t>a3</t>
  </si>
  <si>
    <t>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</si>
</sst>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E+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0" borderId="0" xfId="0" quotePrefix="1"/>
    <xf numFmtId="2" fontId="0" fillId="0" borderId="0" xfId="0" applyNumberFormat="1"/>
    <xf numFmtId="2" fontId="1" fillId="0" borderId="0" xfId="0" applyNumberFormat="1" applyFont="1"/>
    <xf numFmtId="0" fontId="0" fillId="2" borderId="0" xfId="0" applyFill="1" applyAlignment="1">
      <alignment horizontal="right"/>
    </xf>
    <xf numFmtId="164" fontId="0" fillId="0" borderId="0" xfId="0" applyNumberFormat="1"/>
    <xf numFmtId="165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zoomScale="160" zoomScaleNormal="160" workbookViewId="0">
      <selection activeCell="H12" sqref="H12"/>
    </sheetView>
  </sheetViews>
  <sheetFormatPr defaultRowHeight="14.5" x14ac:dyDescent="0.35"/>
  <cols>
    <col min="1" max="1" width="20.81640625" customWidth="1"/>
    <col min="2" max="2" width="16.6328125" customWidth="1"/>
    <col min="3" max="4" width="7.08984375" customWidth="1"/>
  </cols>
  <sheetData>
    <row r="1" spans="1:6" x14ac:dyDescent="0.35">
      <c r="A1" t="s">
        <v>19</v>
      </c>
    </row>
    <row r="3" spans="1:6" x14ac:dyDescent="0.35">
      <c r="A3" s="1" t="s">
        <v>6</v>
      </c>
      <c r="B3" s="1" t="s">
        <v>7</v>
      </c>
      <c r="C3" s="1" t="s">
        <v>4</v>
      </c>
      <c r="D3" s="1" t="s">
        <v>5</v>
      </c>
      <c r="E3" s="5" t="s">
        <v>1</v>
      </c>
      <c r="F3" s="5" t="s">
        <v>2</v>
      </c>
    </row>
    <row r="4" spans="1:6" x14ac:dyDescent="0.35">
      <c r="A4" t="s">
        <v>46</v>
      </c>
      <c r="B4" t="s">
        <v>8</v>
      </c>
      <c r="C4" t="s">
        <v>3</v>
      </c>
      <c r="D4" t="s">
        <v>34</v>
      </c>
      <c r="E4" s="4">
        <v>5</v>
      </c>
      <c r="F4" s="4">
        <v>4.4444444000000001</v>
      </c>
    </row>
    <row r="5" spans="1:6" x14ac:dyDescent="0.35">
      <c r="A5" t="s">
        <v>47</v>
      </c>
      <c r="E5" s="4">
        <v>5.4347826000000001</v>
      </c>
      <c r="F5" s="4">
        <v>4.3478260999999998</v>
      </c>
    </row>
    <row r="6" spans="1:6" x14ac:dyDescent="0.35">
      <c r="A6" t="s">
        <v>48</v>
      </c>
      <c r="E6" s="4">
        <v>5.4347826000000001</v>
      </c>
      <c r="F6" s="4">
        <v>4.3478260999999998</v>
      </c>
    </row>
    <row r="8" spans="1:6" x14ac:dyDescent="0.35">
      <c r="A8" s="1" t="s">
        <v>6</v>
      </c>
      <c r="B8" s="1" t="s">
        <v>7</v>
      </c>
      <c r="C8" s="1" t="s">
        <v>4</v>
      </c>
      <c r="D8" s="1" t="s">
        <v>5</v>
      </c>
      <c r="E8" s="5" t="s">
        <v>1</v>
      </c>
      <c r="F8" s="5" t="s">
        <v>2</v>
      </c>
    </row>
    <row r="9" spans="1:6" x14ac:dyDescent="0.35">
      <c r="A9" t="s">
        <v>9</v>
      </c>
      <c r="B9" t="s">
        <v>15</v>
      </c>
      <c r="C9" t="s">
        <v>10</v>
      </c>
      <c r="D9" t="s">
        <v>35</v>
      </c>
      <c r="E9" s="3">
        <v>0.5</v>
      </c>
      <c r="F9" s="3">
        <v>2</v>
      </c>
    </row>
    <row r="10" spans="1:6" x14ac:dyDescent="0.35">
      <c r="A10" t="s">
        <v>41</v>
      </c>
      <c r="B10" t="s">
        <v>11</v>
      </c>
      <c r="C10" t="s">
        <v>18</v>
      </c>
      <c r="D10" t="s">
        <v>36</v>
      </c>
      <c r="E10" s="3">
        <v>1.2</v>
      </c>
      <c r="F10" s="3">
        <v>0.8</v>
      </c>
    </row>
    <row r="11" spans="1:6" x14ac:dyDescent="0.35">
      <c r="A11" t="s">
        <v>42</v>
      </c>
      <c r="B11" t="s">
        <v>11</v>
      </c>
      <c r="C11" t="s">
        <v>22</v>
      </c>
      <c r="D11" t="s">
        <v>37</v>
      </c>
      <c r="E11" s="3">
        <v>0.2</v>
      </c>
      <c r="F11" s="3">
        <v>0.9</v>
      </c>
    </row>
    <row r="12" spans="1:6" x14ac:dyDescent="0.35">
      <c r="A12" t="s">
        <v>38</v>
      </c>
      <c r="B12" t="s">
        <v>11</v>
      </c>
      <c r="C12" t="s">
        <v>49</v>
      </c>
      <c r="D12" t="s">
        <v>34</v>
      </c>
      <c r="E12" s="3">
        <v>5</v>
      </c>
      <c r="F12" s="3">
        <v>10</v>
      </c>
    </row>
    <row r="13" spans="1:6" x14ac:dyDescent="0.35">
      <c r="E13" s="3"/>
      <c r="F13" s="3"/>
    </row>
    <row r="14" spans="1:6" x14ac:dyDescent="0.35">
      <c r="A14" s="1" t="s">
        <v>6</v>
      </c>
      <c r="B14" s="1" t="s">
        <v>7</v>
      </c>
      <c r="C14" s="1" t="s">
        <v>4</v>
      </c>
      <c r="D14" s="1" t="s">
        <v>5</v>
      </c>
      <c r="E14" s="5" t="s">
        <v>27</v>
      </c>
      <c r="F14" s="3"/>
    </row>
    <row r="15" spans="1:6" x14ac:dyDescent="0.35">
      <c r="A15" t="s">
        <v>16</v>
      </c>
      <c r="B15" t="s">
        <v>11</v>
      </c>
      <c r="C15" t="s">
        <v>24</v>
      </c>
      <c r="D15" t="s">
        <v>17</v>
      </c>
      <c r="E15" s="3">
        <v>10</v>
      </c>
      <c r="F15" s="3"/>
    </row>
    <row r="16" spans="1:6" x14ac:dyDescent="0.35">
      <c r="A16" t="s">
        <v>23</v>
      </c>
      <c r="B16" t="s">
        <v>11</v>
      </c>
      <c r="C16" t="s">
        <v>25</v>
      </c>
      <c r="D16" t="s">
        <v>26</v>
      </c>
      <c r="E16" s="3">
        <v>5</v>
      </c>
      <c r="F16" s="3"/>
    </row>
    <row r="18" spans="1:7" x14ac:dyDescent="0.35">
      <c r="A18" s="1" t="s">
        <v>29</v>
      </c>
      <c r="B18" s="1" t="s">
        <v>28</v>
      </c>
      <c r="C18" s="1" t="s">
        <v>5</v>
      </c>
      <c r="D18" s="1"/>
      <c r="E18" s="5" t="s">
        <v>43</v>
      </c>
      <c r="F18" s="5" t="s">
        <v>44</v>
      </c>
      <c r="G18" s="5" t="s">
        <v>45</v>
      </c>
    </row>
    <row r="19" spans="1:7" x14ac:dyDescent="0.35">
      <c r="A19" t="s">
        <v>13</v>
      </c>
      <c r="B19" s="2" t="s">
        <v>20</v>
      </c>
      <c r="C19" t="s">
        <v>12</v>
      </c>
      <c r="D19" s="6" cm="1">
        <f t="array" ref="D19">MMULT(MMULT({1,1,1},E4:F6),TRANSPOSE(E9:F9))</f>
        <v>34.214975799999998</v>
      </c>
    </row>
    <row r="20" spans="1:7" x14ac:dyDescent="0.35">
      <c r="A20" t="s">
        <v>31</v>
      </c>
      <c r="B20" t="s">
        <v>30</v>
      </c>
      <c r="C20" t="s">
        <v>17</v>
      </c>
      <c r="E20" s="6" cm="1">
        <f t="array" ref="E20:G20">MMULT(E10:F10,TRANSPOSE(E4:F6))-{1,1,1}*E15</f>
        <v>-0.44444447999999959</v>
      </c>
      <c r="F20" s="6">
        <v>0</v>
      </c>
      <c r="G20" s="6">
        <v>0</v>
      </c>
    </row>
    <row r="21" spans="1:7" x14ac:dyDescent="0.35">
      <c r="A21" t="s">
        <v>32</v>
      </c>
      <c r="B21" t="s">
        <v>33</v>
      </c>
      <c r="C21" t="s">
        <v>26</v>
      </c>
      <c r="E21" s="6" cm="1">
        <f t="array" ref="E21:G21">MMULT(E11:F11,TRANSPOSE(E4:F6))-{1,1,1}*E16</f>
        <v>-3.9999999756901161E-8</v>
      </c>
      <c r="F21" s="6">
        <v>9.9999999392252903E-9</v>
      </c>
      <c r="G21" s="6">
        <v>9.9999999392252903E-9</v>
      </c>
    </row>
    <row r="22" spans="1:7" x14ac:dyDescent="0.35">
      <c r="A22" t="s">
        <v>39</v>
      </c>
      <c r="B22" t="s">
        <v>40</v>
      </c>
      <c r="C22" t="s">
        <v>34</v>
      </c>
      <c r="E22" s="6" cm="1">
        <f t="array" ref="E22:G22">TRANSPOSE(E4:E6)-E12:G12</f>
        <v>0</v>
      </c>
      <c r="F22" s="6">
        <v>-4.5652173999999999</v>
      </c>
      <c r="G22" s="6">
        <v>5.4347826000000001</v>
      </c>
    </row>
    <row r="23" spans="1:7" x14ac:dyDescent="0.35">
      <c r="A23" t="s">
        <v>14</v>
      </c>
      <c r="B23" t="s">
        <v>21</v>
      </c>
      <c r="C23" t="s">
        <v>0</v>
      </c>
      <c r="D23" s="6"/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B998B-A9FB-488C-BACD-A160525D51F0}">
  <dimension ref="A1:P20"/>
  <sheetViews>
    <sheetView tabSelected="1" zoomScale="145" zoomScaleNormal="145" workbookViewId="0">
      <selection activeCell="P8" sqref="P8"/>
    </sheetView>
  </sheetViews>
  <sheetFormatPr defaultRowHeight="14.5" x14ac:dyDescent="0.35"/>
  <cols>
    <col min="1" max="5" width="5.453125" customWidth="1"/>
    <col min="7" max="7" width="6.7265625" customWidth="1"/>
    <col min="8" max="20" width="6.6328125" customWidth="1"/>
  </cols>
  <sheetData>
    <row r="1" spans="1:16" x14ac:dyDescent="0.35">
      <c r="A1" t="s">
        <v>67</v>
      </c>
    </row>
    <row r="2" spans="1:16" x14ac:dyDescent="0.35">
      <c r="B2" t="s">
        <v>66</v>
      </c>
    </row>
    <row r="3" spans="1:16" x14ac:dyDescent="0.35">
      <c r="C3" t="s">
        <v>54</v>
      </c>
      <c r="H3" t="s">
        <v>51</v>
      </c>
      <c r="I3" t="s">
        <v>52</v>
      </c>
    </row>
    <row r="4" spans="1:16" x14ac:dyDescent="0.35">
      <c r="D4" t="s">
        <v>53</v>
      </c>
    </row>
    <row r="5" spans="1:16" x14ac:dyDescent="0.35">
      <c r="E5" t="s">
        <v>70</v>
      </c>
      <c r="K5" t="s">
        <v>74</v>
      </c>
    </row>
    <row r="6" spans="1:16" x14ac:dyDescent="0.35">
      <c r="F6" t="s">
        <v>6</v>
      </c>
      <c r="H6" t="s">
        <v>60</v>
      </c>
      <c r="I6" t="s">
        <v>61</v>
      </c>
      <c r="K6" t="s">
        <v>63</v>
      </c>
    </row>
    <row r="7" spans="1:16" x14ac:dyDescent="0.35">
      <c r="G7" t="s">
        <v>5</v>
      </c>
    </row>
    <row r="8" spans="1:16" x14ac:dyDescent="0.35">
      <c r="H8" t="s">
        <v>62</v>
      </c>
      <c r="K8" t="s">
        <v>64</v>
      </c>
    </row>
    <row r="9" spans="1:16" x14ac:dyDescent="0.35">
      <c r="D9" t="s">
        <v>50</v>
      </c>
      <c r="F9" t="s">
        <v>56</v>
      </c>
      <c r="G9" t="s">
        <v>34</v>
      </c>
      <c r="H9" s="1">
        <v>0.8</v>
      </c>
      <c r="I9" s="1">
        <v>0</v>
      </c>
      <c r="K9" s="1">
        <v>1</v>
      </c>
      <c r="P9" s="8">
        <v>1</v>
      </c>
    </row>
    <row r="10" spans="1:16" x14ac:dyDescent="0.35">
      <c r="D10" t="s">
        <v>55</v>
      </c>
      <c r="F10" t="s">
        <v>57</v>
      </c>
      <c r="G10" t="s">
        <v>34</v>
      </c>
      <c r="H10" s="1">
        <v>0.2</v>
      </c>
      <c r="I10" s="1">
        <v>1</v>
      </c>
      <c r="K10" s="1">
        <v>2</v>
      </c>
      <c r="P10" s="8">
        <v>1</v>
      </c>
    </row>
    <row r="11" spans="1:16" x14ac:dyDescent="0.35">
      <c r="H11" t="s">
        <v>62</v>
      </c>
    </row>
    <row r="12" spans="1:16" x14ac:dyDescent="0.35">
      <c r="E12" t="s">
        <v>71</v>
      </c>
      <c r="F12" t="s">
        <v>58</v>
      </c>
      <c r="G12" t="s">
        <v>17</v>
      </c>
      <c r="H12" s="1">
        <v>1.2</v>
      </c>
      <c r="I12" s="1">
        <v>0.8</v>
      </c>
    </row>
    <row r="13" spans="1:16" x14ac:dyDescent="0.35">
      <c r="E13" t="s">
        <v>72</v>
      </c>
      <c r="F13" t="s">
        <v>59</v>
      </c>
      <c r="G13" t="s">
        <v>26</v>
      </c>
      <c r="H13" s="1">
        <v>0.2</v>
      </c>
      <c r="I13" s="1">
        <v>0.9</v>
      </c>
    </row>
    <row r="14" spans="1:16" x14ac:dyDescent="0.35">
      <c r="E14" t="s">
        <v>73</v>
      </c>
      <c r="F14" t="s">
        <v>65</v>
      </c>
      <c r="G14" t="s">
        <v>34</v>
      </c>
      <c r="H14" s="1">
        <v>30</v>
      </c>
      <c r="I14" s="7">
        <v>1000</v>
      </c>
    </row>
    <row r="15" spans="1:16" x14ac:dyDescent="0.35">
      <c r="M15" t="s">
        <v>24</v>
      </c>
    </row>
    <row r="16" spans="1:16" x14ac:dyDescent="0.35">
      <c r="A16" t="s">
        <v>24</v>
      </c>
      <c r="F16" t="s">
        <v>68</v>
      </c>
      <c r="G16" t="s">
        <v>17</v>
      </c>
      <c r="M16" s="1">
        <v>10</v>
      </c>
    </row>
    <row r="17" spans="2:14" x14ac:dyDescent="0.35">
      <c r="F17" t="s">
        <v>69</v>
      </c>
      <c r="G17" t="s">
        <v>17</v>
      </c>
      <c r="M17" s="1">
        <v>60</v>
      </c>
    </row>
    <row r="18" spans="2:14" x14ac:dyDescent="0.35">
      <c r="N18" t="s">
        <v>25</v>
      </c>
    </row>
    <row r="19" spans="2:14" x14ac:dyDescent="0.35">
      <c r="B19" t="s">
        <v>25</v>
      </c>
      <c r="F19" t="s">
        <v>68</v>
      </c>
      <c r="G19" t="s">
        <v>26</v>
      </c>
      <c r="N19" s="1">
        <v>5</v>
      </c>
    </row>
    <row r="20" spans="2:14" x14ac:dyDescent="0.35">
      <c r="F20" t="s">
        <v>69</v>
      </c>
      <c r="G20" t="s">
        <v>26</v>
      </c>
      <c r="N20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Rocco</dc:creator>
  <cp:lastModifiedBy>Matteo Vincenzo Rocco</cp:lastModifiedBy>
  <dcterms:created xsi:type="dcterms:W3CDTF">2015-06-05T18:17:20Z</dcterms:created>
  <dcterms:modified xsi:type="dcterms:W3CDTF">2026-04-27T16:00:52Z</dcterms:modified>
</cp:coreProperties>
</file>